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 defaultThemeVersion="166925"/>
  <xr:revisionPtr revIDLastSave="0" documentId="8_{118A5A98-6973-4018-A590-0072563A4F19}" xr6:coauthVersionLast="47" xr6:coauthVersionMax="47" xr10:uidLastSave="{00000000-0000-0000-0000-000000000000}"/>
  <bookViews>
    <workbookView xWindow="240" yWindow="105" windowWidth="14805" windowHeight="8010" activeTab="2" xr2:uid="{00000000-000D-0000-FFFF-FFFF00000000}"/>
  </bookViews>
  <sheets>
    <sheet name="Задание 1" sheetId="1" r:id="rId1"/>
    <sheet name="Задание 2" sheetId="2" r:id="rId2"/>
    <sheet name="Задание 3" sheetId="3" r:id="rId3"/>
  </sheets>
  <definedNames>
    <definedName name="_xlnm._FilterDatabase" localSheetId="1" hidden="1">'Задание 2'!$O$3:$S$3</definedName>
    <definedName name="_xlnm._FilterDatabase" localSheetId="2" hidden="1">'Задание 3'!$C$3:$J$13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" i="3" l="1"/>
  <c r="I19" i="3" s="1"/>
  <c r="G19" i="3"/>
  <c r="J19" i="3" s="1"/>
  <c r="H18" i="3"/>
  <c r="I18" i="3" s="1"/>
  <c r="G18" i="3"/>
  <c r="J18" i="3" s="1"/>
  <c r="H17" i="3"/>
  <c r="I17" i="3" s="1"/>
  <c r="G17" i="3"/>
  <c r="J17" i="3" s="1"/>
  <c r="J14" i="3"/>
  <c r="H13" i="3"/>
  <c r="I13" i="3" s="1"/>
  <c r="H10" i="3"/>
  <c r="I10" i="3" s="1"/>
  <c r="H7" i="3"/>
  <c r="I7" i="3" s="1"/>
  <c r="H6" i="3"/>
  <c r="I6" i="3" s="1"/>
  <c r="H11" i="3"/>
  <c r="I11" i="3" s="1"/>
  <c r="H9" i="3"/>
  <c r="I9" i="3" s="1"/>
  <c r="H4" i="3"/>
  <c r="I4" i="3" s="1"/>
  <c r="H8" i="3"/>
  <c r="I8" i="3" s="1"/>
  <c r="H5" i="3"/>
  <c r="I5" i="3" s="1"/>
  <c r="H12" i="3"/>
  <c r="I12" i="3" s="1"/>
  <c r="G4" i="3"/>
  <c r="J4" i="3" s="1"/>
  <c r="G13" i="3"/>
  <c r="J13" i="3" s="1"/>
  <c r="G10" i="3"/>
  <c r="J10" i="3" s="1"/>
  <c r="G7" i="3"/>
  <c r="J7" i="3" s="1"/>
  <c r="G6" i="3"/>
  <c r="J6" i="3" s="1"/>
  <c r="G11" i="3"/>
  <c r="J11" i="3" s="1"/>
  <c r="G9" i="3"/>
  <c r="J9" i="3" s="1"/>
  <c r="G8" i="3"/>
  <c r="J8" i="3" s="1"/>
  <c r="G5" i="3"/>
  <c r="J5" i="3" s="1"/>
  <c r="G12" i="3"/>
  <c r="J12" i="3" s="1"/>
  <c r="D18" i="2"/>
  <c r="G23" i="2"/>
  <c r="E9" i="2"/>
  <c r="F9" i="2"/>
  <c r="D9" i="2"/>
  <c r="G5" i="2"/>
  <c r="G6" i="2"/>
  <c r="G7" i="2"/>
  <c r="G8" i="2"/>
  <c r="G4" i="2"/>
  <c r="G9" i="2" s="1"/>
  <c r="K7" i="1"/>
  <c r="K8" i="1"/>
  <c r="K9" i="1"/>
  <c r="K10" i="1"/>
  <c r="K11" i="1"/>
  <c r="K6" i="1"/>
</calcChain>
</file>

<file path=xl/sharedStrings.xml><?xml version="1.0" encoding="utf-8"?>
<sst xmlns="http://schemas.openxmlformats.org/spreadsheetml/2006/main" count="76" uniqueCount="47">
  <si>
    <t>Средняя температура по месяцам.</t>
  </si>
  <si>
    <t>Регион</t>
  </si>
  <si>
    <t>Январь</t>
  </si>
  <si>
    <t>Февраль</t>
  </si>
  <si>
    <t>Март</t>
  </si>
  <si>
    <t>Среднее</t>
  </si>
  <si>
    <t>Киев</t>
  </si>
  <si>
    <t>Житомир</t>
  </si>
  <si>
    <t>Харьков</t>
  </si>
  <si>
    <t>Днепропетровск</t>
  </si>
  <si>
    <t>Одесса</t>
  </si>
  <si>
    <t>Симферополь</t>
  </si>
  <si>
    <t>Результаты сессии:</t>
  </si>
  <si>
    <t>ФИО</t>
  </si>
  <si>
    <t>Химия</t>
  </si>
  <si>
    <t>Физика</t>
  </si>
  <si>
    <t>История</t>
  </si>
  <si>
    <t>Средняя оценка</t>
  </si>
  <si>
    <t>Кошкин К.К.</t>
  </si>
  <si>
    <t>Мышкин М.М.</t>
  </si>
  <si>
    <t>Собакин С.С.</t>
  </si>
  <si>
    <t>Уткин У.У.</t>
  </si>
  <si>
    <t>Волков В.В.</t>
  </si>
  <si>
    <t>Средняя</t>
  </si>
  <si>
    <t>Сдали хуже всего</t>
  </si>
  <si>
    <t>Меньше среднего балла</t>
  </si>
  <si>
    <t>Ведомость оптово-розничной торговли фирмы "Рога и копыта"</t>
  </si>
  <si>
    <t>Наименование товара</t>
  </si>
  <si>
    <t>Единицы измерения</t>
  </si>
  <si>
    <t>Цена за единицу</t>
  </si>
  <si>
    <t>Количество</t>
  </si>
  <si>
    <t>Цена за блок (десяток) (90%)</t>
  </si>
  <si>
    <t>Количество блоков</t>
  </si>
  <si>
    <t>Количество единиц</t>
  </si>
  <si>
    <t>Стоимость</t>
  </si>
  <si>
    <t>Конфеты "Вечерние"</t>
  </si>
  <si>
    <t>коробка</t>
  </si>
  <si>
    <t>Печенье "Южное"</t>
  </si>
  <si>
    <t>пачка</t>
  </si>
  <si>
    <t>Конфеты "Космос"</t>
  </si>
  <si>
    <t>Конфеты "К чаю"</t>
  </si>
  <si>
    <t>Печенье "Лакомка"</t>
  </si>
  <si>
    <t>Печенье "Дамское"</t>
  </si>
  <si>
    <t>Конфеты "Белочка"</t>
  </si>
  <si>
    <t>Печенье "Овсяное"</t>
  </si>
  <si>
    <t>Конфеты "Батончик"</t>
  </si>
  <si>
    <t>Печенье "Юбилейное"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</si>
</sst>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9" xfId="0" applyBorder="1"/>
    <xf numFmtId="0" fontId="0" fillId="0" borderId="10" xfId="0" applyBorder="1"/>
    <xf numFmtId="0" fontId="1" fillId="0" borderId="0" xfId="0" applyFont="1" applyBorder="1"/>
    <xf numFmtId="0" fontId="0" fillId="0" borderId="0" xfId="0" applyBorder="1"/>
    <xf numFmtId="0" fontId="0" fillId="0" borderId="11" xfId="0" applyBorder="1"/>
    <xf numFmtId="0" fontId="0" fillId="0" borderId="17" xfId="0" applyBorder="1"/>
    <xf numFmtId="0" fontId="0" fillId="0" borderId="0" xfId="0" applyFill="1" applyBorder="1"/>
    <xf numFmtId="0" fontId="1" fillId="0" borderId="12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0" fillId="2" borderId="1" xfId="0" applyFill="1" applyBorder="1"/>
    <xf numFmtId="0" fontId="1" fillId="2" borderId="1" xfId="0" applyFont="1" applyFill="1" applyBorder="1" applyAlignment="1">
      <alignment horizontal="center"/>
    </xf>
    <xf numFmtId="0" fontId="0" fillId="0" borderId="20" xfId="0" applyBorder="1"/>
    <xf numFmtId="0" fontId="0" fillId="0" borderId="19" xfId="0" applyBorder="1" applyAlignment="1">
      <alignment horizontal="center"/>
    </xf>
    <xf numFmtId="0" fontId="1" fillId="0" borderId="20" xfId="0" applyFont="1" applyBorder="1" applyAlignment="1">
      <alignment horizontal="center" vertical="center" textRotation="90"/>
    </xf>
    <xf numFmtId="0" fontId="1" fillId="2" borderId="20" xfId="0" applyFont="1" applyFill="1" applyBorder="1" applyAlignment="1">
      <alignment horizontal="center" vertical="center" textRotation="90"/>
    </xf>
    <xf numFmtId="0" fontId="2" fillId="0" borderId="19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0" borderId="0" xfId="0" applyFont="1" applyFill="1" applyBorder="1"/>
    <xf numFmtId="0" fontId="0" fillId="0" borderId="0" xfId="0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1" fillId="0" borderId="0" xfId="0" applyFont="1" applyFill="1" applyBorder="1" applyAlignment="1">
      <alignment horizontal="center" vertical="center" textRotation="90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z-Cyrl-AZ"/>
              <a:t>Температура в разные месяцы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'Задание 1'!$H$5</c:f>
              <c:strCache>
                <c:ptCount val="1"/>
                <c:pt idx="0">
                  <c:v>Январь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'Задание 1'!$G$6:$G$11</c:f>
              <c:strCache>
                <c:ptCount val="6"/>
                <c:pt idx="0">
                  <c:v>Киев</c:v>
                </c:pt>
                <c:pt idx="1">
                  <c:v>Житомир</c:v>
                </c:pt>
                <c:pt idx="2">
                  <c:v>Харьков</c:v>
                </c:pt>
                <c:pt idx="3">
                  <c:v>Днепропетровск</c:v>
                </c:pt>
                <c:pt idx="4">
                  <c:v>Одесса</c:v>
                </c:pt>
                <c:pt idx="5">
                  <c:v>Симферополь</c:v>
                </c:pt>
              </c:strCache>
            </c:strRef>
          </c:cat>
          <c:val>
            <c:numRef>
              <c:f>'Задание 1'!$H$6:$H$11</c:f>
              <c:numCache>
                <c:formatCode>General</c:formatCode>
                <c:ptCount val="6"/>
                <c:pt idx="0">
                  <c:v>-11</c:v>
                </c:pt>
                <c:pt idx="1">
                  <c:v>-10</c:v>
                </c:pt>
                <c:pt idx="2">
                  <c:v>-8</c:v>
                </c:pt>
                <c:pt idx="3">
                  <c:v>-9</c:v>
                </c:pt>
                <c:pt idx="4">
                  <c:v>-5</c:v>
                </c:pt>
                <c:pt idx="5">
                  <c:v>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D4-43BB-9B50-680FABEE8C54}"/>
            </c:ext>
          </c:extLst>
        </c:ser>
        <c:ser>
          <c:idx val="1"/>
          <c:order val="1"/>
          <c:tx>
            <c:strRef>
              <c:f>'Задание 1'!$I$5</c:f>
              <c:strCache>
                <c:ptCount val="1"/>
                <c:pt idx="0">
                  <c:v>Февраль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'Задание 1'!$G$6:$G$11</c:f>
              <c:strCache>
                <c:ptCount val="6"/>
                <c:pt idx="0">
                  <c:v>Киев</c:v>
                </c:pt>
                <c:pt idx="1">
                  <c:v>Житомир</c:v>
                </c:pt>
                <c:pt idx="2">
                  <c:v>Харьков</c:v>
                </c:pt>
                <c:pt idx="3">
                  <c:v>Днепропетровск</c:v>
                </c:pt>
                <c:pt idx="4">
                  <c:v>Одесса</c:v>
                </c:pt>
                <c:pt idx="5">
                  <c:v>Симферополь</c:v>
                </c:pt>
              </c:strCache>
            </c:strRef>
          </c:cat>
          <c:val>
            <c:numRef>
              <c:f>'Задание 1'!$I$6:$I$11</c:f>
              <c:numCache>
                <c:formatCode>General</c:formatCode>
                <c:ptCount val="6"/>
                <c:pt idx="0">
                  <c:v>-5</c:v>
                </c:pt>
                <c:pt idx="1">
                  <c:v>-5</c:v>
                </c:pt>
                <c:pt idx="2">
                  <c:v>-6</c:v>
                </c:pt>
                <c:pt idx="3">
                  <c:v>-5</c:v>
                </c:pt>
                <c:pt idx="4">
                  <c:v>-1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6D4-43BB-9B50-680FABEE8C54}"/>
            </c:ext>
          </c:extLst>
        </c:ser>
        <c:ser>
          <c:idx val="2"/>
          <c:order val="2"/>
          <c:tx>
            <c:strRef>
              <c:f>'Задание 1'!$J$5</c:f>
              <c:strCache>
                <c:ptCount val="1"/>
                <c:pt idx="0">
                  <c:v>Март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'Задание 1'!$G$6:$G$11</c:f>
              <c:strCache>
                <c:ptCount val="6"/>
                <c:pt idx="0">
                  <c:v>Киев</c:v>
                </c:pt>
                <c:pt idx="1">
                  <c:v>Житомир</c:v>
                </c:pt>
                <c:pt idx="2">
                  <c:v>Харьков</c:v>
                </c:pt>
                <c:pt idx="3">
                  <c:v>Днепропетровск</c:v>
                </c:pt>
                <c:pt idx="4">
                  <c:v>Одесса</c:v>
                </c:pt>
                <c:pt idx="5">
                  <c:v>Симферополь</c:v>
                </c:pt>
              </c:strCache>
            </c:strRef>
          </c:cat>
          <c:val>
            <c:numRef>
              <c:f>'Задание 1'!$J$6:$J$11</c:f>
              <c:numCache>
                <c:formatCode>General</c:formatCode>
                <c:ptCount val="6"/>
                <c:pt idx="0">
                  <c:v>7</c:v>
                </c:pt>
                <c:pt idx="1">
                  <c:v>6</c:v>
                </c:pt>
                <c:pt idx="2">
                  <c:v>5</c:v>
                </c:pt>
                <c:pt idx="3">
                  <c:v>8</c:v>
                </c:pt>
                <c:pt idx="4">
                  <c:v>10</c:v>
                </c:pt>
                <c:pt idx="5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6D4-43BB-9B50-680FABEE8C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015047"/>
        <c:axId val="109017095"/>
      </c:barChart>
      <c:catAx>
        <c:axId val="109015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017095"/>
        <c:crosses val="autoZero"/>
        <c:auto val="1"/>
        <c:lblAlgn val="ctr"/>
        <c:lblOffset val="100"/>
        <c:noMultiLvlLbl val="0"/>
      </c:catAx>
      <c:valAx>
        <c:axId val="109017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015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z-Cyrl-AZ"/>
              <a:t>Средняя температура в разных регионах</a:t>
            </a:r>
          </a:p>
        </c:rich>
      </c:tx>
      <c:layout>
        <c:manualLayout>
          <c:xMode val="edge"/>
          <c:yMode val="edge"/>
          <c:x val="0.16487790400600671"/>
          <c:y val="4.35953807366484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'Задание 1'!$K$5</c:f>
              <c:strCache>
                <c:ptCount val="1"/>
                <c:pt idx="0">
                  <c:v>Среднее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'Задание 1'!$G$6:$G$11</c:f>
              <c:strCache>
                <c:ptCount val="6"/>
                <c:pt idx="0">
                  <c:v>Киев</c:v>
                </c:pt>
                <c:pt idx="1">
                  <c:v>Житомир</c:v>
                </c:pt>
                <c:pt idx="2">
                  <c:v>Харьков</c:v>
                </c:pt>
                <c:pt idx="3">
                  <c:v>Днепропетровск</c:v>
                </c:pt>
                <c:pt idx="4">
                  <c:v>Одесса</c:v>
                </c:pt>
                <c:pt idx="5">
                  <c:v>Симферополь</c:v>
                </c:pt>
              </c:strCache>
            </c:strRef>
          </c:cat>
          <c:val>
            <c:numRef>
              <c:f>'Задание 1'!$K$6:$K$11</c:f>
              <c:numCache>
                <c:formatCode>General</c:formatCode>
                <c:ptCount val="6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-2</c:v>
                </c:pt>
                <c:pt idx="4">
                  <c:v>1.3333333333333333</c:v>
                </c:pt>
                <c:pt idx="5">
                  <c:v>3.6666666666666665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39-4393-A299-FAD0650C5D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z-Cyrl-AZ"/>
              <a:t>Средняя успеваемость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'Задание 2'!$G$3</c:f>
              <c:strCache>
                <c:ptCount val="1"/>
                <c:pt idx="0">
                  <c:v>Средняя оценка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'Задание 2'!$C$4:$C$9</c:f>
              <c:strCache>
                <c:ptCount val="6"/>
                <c:pt idx="0">
                  <c:v>Кошкин К.К.</c:v>
                </c:pt>
                <c:pt idx="1">
                  <c:v>Мышкин М.М.</c:v>
                </c:pt>
                <c:pt idx="2">
                  <c:v>Собакин С.С.</c:v>
                </c:pt>
                <c:pt idx="3">
                  <c:v>Уткин У.У.</c:v>
                </c:pt>
                <c:pt idx="4">
                  <c:v>Волков В.В.</c:v>
                </c:pt>
                <c:pt idx="5">
                  <c:v>Средняя</c:v>
                </c:pt>
              </c:strCache>
            </c:strRef>
          </c:cat>
          <c:val>
            <c:numRef>
              <c:f>'Задание 2'!$G$4:$G$9</c:f>
              <c:numCache>
                <c:formatCode>General</c:formatCode>
                <c:ptCount val="6"/>
                <c:pt idx="0">
                  <c:v>4</c:v>
                </c:pt>
                <c:pt idx="1">
                  <c:v>4.333333333333333</c:v>
                </c:pt>
                <c:pt idx="2">
                  <c:v>3.6666666666666665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4F-4B6C-BBB7-EADB064927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8457480"/>
        <c:axId val="1428475912"/>
      </c:barChart>
      <c:catAx>
        <c:axId val="1428457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8475912"/>
        <c:crosses val="autoZero"/>
        <c:auto val="1"/>
        <c:lblAlgn val="ctr"/>
        <c:lblOffset val="100"/>
        <c:noMultiLvlLbl val="0"/>
      </c:catAx>
      <c:valAx>
        <c:axId val="1428475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8457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'Задание 2'!$C$9</c:f>
              <c:strCache>
                <c:ptCount val="1"/>
                <c:pt idx="0">
                  <c:v>Средняя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'Задание 2'!$D$3:$F$3</c:f>
              <c:strCache>
                <c:ptCount val="3"/>
                <c:pt idx="0">
                  <c:v>Химия</c:v>
                </c:pt>
                <c:pt idx="1">
                  <c:v>Физика</c:v>
                </c:pt>
                <c:pt idx="2">
                  <c:v>История</c:v>
                </c:pt>
              </c:strCache>
            </c:strRef>
          </c:cat>
          <c:val>
            <c:numRef>
              <c:f>'Задание 2'!$D$9:$F$9</c:f>
              <c:numCache>
                <c:formatCode>General</c:formatCode>
                <c:ptCount val="3"/>
                <c:pt idx="0">
                  <c:v>3.6</c:v>
                </c:pt>
                <c:pt idx="1">
                  <c:v>4.2</c:v>
                </c:pt>
                <c:pt idx="2">
                  <c:v>4.2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F6-47D8-99D8-7C57890291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'Задание 3'!$F$3</c:f>
              <c:strCache>
                <c:ptCount val="1"/>
                <c:pt idx="0">
                  <c:v>Количество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'Задание 3'!$C$4:$C$13</c:f>
              <c:strCache>
                <c:ptCount val="10"/>
                <c:pt idx="0">
                  <c:v>Конфеты "Вечерние"</c:v>
                </c:pt>
                <c:pt idx="1">
                  <c:v>Печенье "Южное"</c:v>
                </c:pt>
                <c:pt idx="2">
                  <c:v>Конфеты "Космос"</c:v>
                </c:pt>
                <c:pt idx="3">
                  <c:v>Конфеты "К чаю"</c:v>
                </c:pt>
                <c:pt idx="4">
                  <c:v>Печенье "Лакомка"</c:v>
                </c:pt>
                <c:pt idx="5">
                  <c:v>Печенье "Дамское"</c:v>
                </c:pt>
                <c:pt idx="6">
                  <c:v>Конфеты "Белочка"</c:v>
                </c:pt>
                <c:pt idx="7">
                  <c:v>Печенье "Овсяное"</c:v>
                </c:pt>
                <c:pt idx="8">
                  <c:v>Конфеты "Батончик"</c:v>
                </c:pt>
                <c:pt idx="9">
                  <c:v>Печенье "Юбилейное"</c:v>
                </c:pt>
              </c:strCache>
            </c:strRef>
          </c:cat>
          <c:val>
            <c:numRef>
              <c:f>'Задание 3'!$F$4:$F$13</c:f>
              <c:numCache>
                <c:formatCode>General</c:formatCode>
                <c:ptCount val="10"/>
                <c:pt idx="0">
                  <c:v>40</c:v>
                </c:pt>
                <c:pt idx="1">
                  <c:v>100</c:v>
                </c:pt>
                <c:pt idx="2">
                  <c:v>23</c:v>
                </c:pt>
                <c:pt idx="3">
                  <c:v>15</c:v>
                </c:pt>
                <c:pt idx="4">
                  <c:v>51</c:v>
                </c:pt>
                <c:pt idx="5">
                  <c:v>25</c:v>
                </c:pt>
                <c:pt idx="6">
                  <c:v>12</c:v>
                </c:pt>
                <c:pt idx="7">
                  <c:v>23</c:v>
                </c:pt>
                <c:pt idx="8">
                  <c:v>6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75-4EC8-825F-C22066D19A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590550</xdr:colOff>
      <xdr:row>3</xdr:row>
      <xdr:rowOff>180975</xdr:rowOff>
    </xdr:from>
    <xdr:to>
      <xdr:col>17</xdr:col>
      <xdr:colOff>600075</xdr:colOff>
      <xdr:row>15</xdr:row>
      <xdr:rowOff>19050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A85A172B-2406-333C-7D79-9DCF91FC51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561975</xdr:colOff>
      <xdr:row>16</xdr:row>
      <xdr:rowOff>0</xdr:rowOff>
    </xdr:from>
    <xdr:to>
      <xdr:col>17</xdr:col>
      <xdr:colOff>571500</xdr:colOff>
      <xdr:row>29</xdr:row>
      <xdr:rowOff>85725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7408B501-C2A2-A7DD-02D6-C2E8E503F8F5}"/>
            </a:ext>
            <a:ext uri="{147F2762-F138-4A5C-976F-8EAC2B608ADB}">
              <a16:predDERef xmlns:a16="http://schemas.microsoft.com/office/drawing/2014/main" pred="{A85A172B-2406-333C-7D79-9DCF91FC51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504825</xdr:colOff>
      <xdr:row>2</xdr:row>
      <xdr:rowOff>0</xdr:rowOff>
    </xdr:from>
    <xdr:to>
      <xdr:col>14</xdr:col>
      <xdr:colOff>142875</xdr:colOff>
      <xdr:row>16</xdr:row>
      <xdr:rowOff>76200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B59BEA1D-89A1-25FF-D29D-5D9BA247D7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742950</xdr:colOff>
      <xdr:row>2</xdr:row>
      <xdr:rowOff>0</xdr:rowOff>
    </xdr:from>
    <xdr:to>
      <xdr:col>21</xdr:col>
      <xdr:colOff>276225</xdr:colOff>
      <xdr:row>16</xdr:row>
      <xdr:rowOff>76200</xdr:rowOff>
    </xdr:to>
    <xdr:graphicFrame macro="">
      <xdr:nvGraphicFramePr>
        <xdr:cNvPr id="9" name="Диаграмма 8">
          <a:extLst>
            <a:ext uri="{FF2B5EF4-FFF2-40B4-BE49-F238E27FC236}">
              <a16:creationId xmlns:a16="http://schemas.microsoft.com/office/drawing/2014/main" id="{277BC6E7-5919-6DFE-261B-CF18ACA64F21}"/>
            </a:ext>
            <a:ext uri="{147F2762-F138-4A5C-976F-8EAC2B608ADB}">
              <a16:predDERef xmlns:a16="http://schemas.microsoft.com/office/drawing/2014/main" pred="{B59BEA1D-89A1-25FF-D29D-5D9BA247D7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133350</xdr:colOff>
      <xdr:row>2</xdr:row>
      <xdr:rowOff>0</xdr:rowOff>
    </xdr:from>
    <xdr:to>
      <xdr:col>18</xdr:col>
      <xdr:colOff>438150</xdr:colOff>
      <xdr:row>7</xdr:row>
      <xdr:rowOff>152400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2289FE3C-7D62-DAE5-F7B7-F377A7DFF8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opLeftCell="F1" workbookViewId="0">
      <selection activeCell="I17" sqref="I17"/>
    </sheetView>
  </sheetViews>
  <sheetFormatPr defaultRowHeight="15"/>
  <cols>
    <col min="1" max="1" width="16.42578125" bestFit="1" customWidth="1"/>
    <col min="2" max="2" width="6.85546875" bestFit="1" customWidth="1"/>
    <col min="3" max="3" width="8" bestFit="1" customWidth="1"/>
    <col min="4" max="4" width="6.7109375" bestFit="1" customWidth="1"/>
    <col min="5" max="5" width="6.140625" bestFit="1" customWidth="1"/>
    <col min="7" max="7" width="16.42578125" bestFit="1" customWidth="1"/>
    <col min="8" max="8" width="7.7109375" bestFit="1" customWidth="1"/>
    <col min="9" max="9" width="9.42578125" customWidth="1"/>
    <col min="10" max="10" width="6" bestFit="1" customWidth="1"/>
    <col min="11" max="11" width="12.5703125" bestFit="1" customWidth="1"/>
  </cols>
  <sheetData>
    <row r="1" spans="1:11">
      <c r="A1" s="2"/>
      <c r="B1" s="1"/>
      <c r="C1" s="1"/>
      <c r="D1" s="1"/>
      <c r="E1" s="1"/>
    </row>
    <row r="2" spans="1:11">
      <c r="A2" s="5"/>
      <c r="B2" s="5"/>
      <c r="C2" s="5"/>
      <c r="D2" s="5"/>
      <c r="E2" s="5"/>
    </row>
    <row r="3" spans="1:11">
      <c r="A3" s="6"/>
      <c r="B3" s="6"/>
      <c r="C3" s="6"/>
      <c r="D3" s="6"/>
      <c r="E3" s="6"/>
    </row>
    <row r="4" spans="1:11">
      <c r="A4" s="6"/>
      <c r="B4" s="6"/>
      <c r="C4" s="6"/>
      <c r="D4" s="6"/>
      <c r="E4" s="6"/>
      <c r="G4" s="2" t="s">
        <v>0</v>
      </c>
      <c r="H4" s="1"/>
      <c r="I4" s="1"/>
      <c r="J4" s="1"/>
      <c r="K4" s="1"/>
    </row>
    <row r="5" spans="1:11">
      <c r="A5" s="6"/>
      <c r="B5" s="6"/>
      <c r="C5" s="6"/>
      <c r="D5" s="6"/>
      <c r="E5" s="6"/>
      <c r="G5" s="10" t="s">
        <v>1</v>
      </c>
      <c r="H5" s="11" t="s">
        <v>2</v>
      </c>
      <c r="I5" s="12" t="s">
        <v>3</v>
      </c>
      <c r="J5" s="12" t="s">
        <v>4</v>
      </c>
      <c r="K5" s="13" t="s">
        <v>5</v>
      </c>
    </row>
    <row r="6" spans="1:11">
      <c r="A6" s="6"/>
      <c r="B6" s="6"/>
      <c r="C6" s="6"/>
      <c r="D6" s="6"/>
      <c r="E6" s="6"/>
      <c r="G6" s="8" t="s">
        <v>6</v>
      </c>
      <c r="H6" s="14">
        <v>-11</v>
      </c>
      <c r="I6" s="15">
        <v>-5</v>
      </c>
      <c r="J6" s="15">
        <v>7</v>
      </c>
      <c r="K6" s="22">
        <f>AVERAGE(H6:J6)</f>
        <v>-3</v>
      </c>
    </row>
    <row r="7" spans="1:11">
      <c r="A7" s="6"/>
      <c r="B7" s="6"/>
      <c r="C7" s="6"/>
      <c r="D7" s="6"/>
      <c r="E7" s="6"/>
      <c r="G7" s="3" t="s">
        <v>7</v>
      </c>
      <c r="H7" s="16">
        <v>-10</v>
      </c>
      <c r="I7" s="17">
        <v>-5</v>
      </c>
      <c r="J7" s="17">
        <v>6</v>
      </c>
      <c r="K7" s="22">
        <f t="shared" ref="K7:K11" si="0">AVERAGE(H7:J7)</f>
        <v>-3</v>
      </c>
    </row>
    <row r="8" spans="1:11">
      <c r="A8" s="6"/>
      <c r="B8" s="6"/>
      <c r="C8" s="6"/>
      <c r="D8" s="6"/>
      <c r="E8" s="6"/>
      <c r="G8" s="3" t="s">
        <v>8</v>
      </c>
      <c r="H8" s="16">
        <v>-8</v>
      </c>
      <c r="I8" s="17">
        <v>-6</v>
      </c>
      <c r="J8" s="17">
        <v>5</v>
      </c>
      <c r="K8" s="22">
        <f t="shared" si="0"/>
        <v>-3</v>
      </c>
    </row>
    <row r="9" spans="1:11">
      <c r="A9" s="5"/>
      <c r="B9" s="6"/>
      <c r="C9" s="6"/>
      <c r="D9" s="6"/>
      <c r="E9" s="6"/>
      <c r="G9" s="3" t="s">
        <v>9</v>
      </c>
      <c r="H9" s="16">
        <v>-9</v>
      </c>
      <c r="I9" s="17">
        <v>-5</v>
      </c>
      <c r="J9" s="17">
        <v>8</v>
      </c>
      <c r="K9" s="22">
        <f t="shared" si="0"/>
        <v>-2</v>
      </c>
    </row>
    <row r="10" spans="1:11">
      <c r="G10" s="7" t="s">
        <v>10</v>
      </c>
      <c r="H10" s="18">
        <v>-5</v>
      </c>
      <c r="I10" s="19">
        <v>-1</v>
      </c>
      <c r="J10" s="19">
        <v>10</v>
      </c>
      <c r="K10" s="22">
        <f t="shared" si="0"/>
        <v>1.3333333333333333</v>
      </c>
    </row>
    <row r="11" spans="1:11">
      <c r="G11" s="4" t="s">
        <v>11</v>
      </c>
      <c r="H11" s="20">
        <v>-5</v>
      </c>
      <c r="I11" s="21">
        <v>1</v>
      </c>
      <c r="J11" s="21">
        <v>15</v>
      </c>
      <c r="K11" s="22">
        <f t="shared" si="0"/>
        <v>3.6666666666666665</v>
      </c>
    </row>
    <row r="12" spans="1:11">
      <c r="G12" s="5"/>
      <c r="H12" s="6"/>
      <c r="I12" s="6"/>
      <c r="J12" s="6"/>
      <c r="K12" s="9"/>
    </row>
  </sheetData>
  <mergeCells count="2">
    <mergeCell ref="A1:E1"/>
    <mergeCell ref="G4:K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BC09B-E9B6-4144-9803-C05B48EBE053}">
  <dimension ref="C2:S23"/>
  <sheetViews>
    <sheetView workbookViewId="0">
      <selection activeCell="H24" sqref="H24"/>
    </sheetView>
  </sheetViews>
  <sheetFormatPr defaultRowHeight="15"/>
  <cols>
    <col min="3" max="3" width="15.140625" bestFit="1" customWidth="1"/>
    <col min="4" max="4" width="7.28515625" bestFit="1" customWidth="1"/>
    <col min="5" max="5" width="8.140625" bestFit="1" customWidth="1"/>
    <col min="6" max="6" width="8.85546875" bestFit="1" customWidth="1"/>
    <col min="7" max="7" width="16.28515625" bestFit="1" customWidth="1"/>
    <col min="9" max="9" width="15.140625" bestFit="1" customWidth="1"/>
    <col min="10" max="10" width="7.28515625" bestFit="1" customWidth="1"/>
    <col min="11" max="11" width="8.140625" bestFit="1" customWidth="1"/>
    <col min="12" max="12" width="8.85546875" bestFit="1" customWidth="1"/>
    <col min="13" max="13" width="16.28515625" bestFit="1" customWidth="1"/>
    <col min="15" max="15" width="15.140625" bestFit="1" customWidth="1"/>
    <col min="16" max="16" width="8.85546875" customWidth="1"/>
    <col min="17" max="17" width="8.140625" bestFit="1" customWidth="1"/>
    <col min="18" max="18" width="8.85546875" bestFit="1" customWidth="1"/>
    <col min="19" max="19" width="16.28515625" bestFit="1" customWidth="1"/>
  </cols>
  <sheetData>
    <row r="2" spans="3:19">
      <c r="C2" s="2" t="s">
        <v>12</v>
      </c>
      <c r="D2" s="1"/>
      <c r="E2" s="1"/>
      <c r="F2" s="1"/>
      <c r="G2" s="1"/>
      <c r="I2" s="40"/>
      <c r="J2" s="41"/>
      <c r="K2" s="41"/>
      <c r="L2" s="41"/>
      <c r="M2" s="41"/>
      <c r="O2" s="36"/>
      <c r="P2" s="36"/>
      <c r="Q2" s="36"/>
      <c r="R2" s="36"/>
      <c r="S2" s="36"/>
    </row>
    <row r="3" spans="3:19">
      <c r="C3" s="23" t="s">
        <v>13</v>
      </c>
      <c r="D3" s="23" t="s">
        <v>14</v>
      </c>
      <c r="E3" s="23" t="s">
        <v>15</v>
      </c>
      <c r="F3" s="23" t="s">
        <v>16</v>
      </c>
      <c r="G3" s="26" t="s">
        <v>17</v>
      </c>
      <c r="I3" s="37"/>
      <c r="J3" s="37"/>
      <c r="K3" s="37"/>
      <c r="L3" s="37"/>
      <c r="M3" s="37"/>
      <c r="O3" s="37"/>
      <c r="P3" s="37"/>
      <c r="Q3" s="37"/>
      <c r="R3" s="37"/>
      <c r="S3" s="37"/>
    </row>
    <row r="4" spans="3:19">
      <c r="C4" s="24" t="s">
        <v>18</v>
      </c>
      <c r="D4" s="17">
        <v>3</v>
      </c>
      <c r="E4" s="17">
        <v>4</v>
      </c>
      <c r="F4" s="17">
        <v>5</v>
      </c>
      <c r="G4" s="32">
        <f>AVERAGE(D4:F4)</f>
        <v>4</v>
      </c>
      <c r="I4" s="38"/>
      <c r="J4" s="39"/>
      <c r="K4" s="39"/>
      <c r="L4" s="39"/>
      <c r="M4" s="39"/>
      <c r="O4" s="38"/>
      <c r="P4" s="39"/>
      <c r="Q4" s="39"/>
      <c r="R4" s="39"/>
      <c r="S4" s="39"/>
    </row>
    <row r="5" spans="3:19">
      <c r="C5" s="24" t="s">
        <v>19</v>
      </c>
      <c r="D5" s="17">
        <v>4</v>
      </c>
      <c r="E5" s="17">
        <v>5</v>
      </c>
      <c r="F5" s="17">
        <v>4</v>
      </c>
      <c r="G5" s="32">
        <f t="shared" ref="G5:G8" si="0">AVERAGE(D5:F5)</f>
        <v>4.333333333333333</v>
      </c>
      <c r="I5" s="38"/>
      <c r="J5" s="39"/>
      <c r="K5" s="39"/>
      <c r="L5" s="39"/>
      <c r="M5" s="39"/>
      <c r="O5" s="38"/>
      <c r="P5" s="39"/>
      <c r="Q5" s="39"/>
      <c r="R5" s="39"/>
      <c r="S5" s="39"/>
    </row>
    <row r="6" spans="3:19">
      <c r="C6" s="24" t="s">
        <v>20</v>
      </c>
      <c r="D6" s="17">
        <v>3</v>
      </c>
      <c r="E6" s="17">
        <v>3</v>
      </c>
      <c r="F6" s="17">
        <v>5</v>
      </c>
      <c r="G6" s="32">
        <f t="shared" si="0"/>
        <v>3.6666666666666665</v>
      </c>
      <c r="I6" s="38"/>
      <c r="J6" s="39"/>
      <c r="K6" s="39"/>
      <c r="L6" s="39"/>
      <c r="M6" s="39"/>
      <c r="O6" s="38"/>
      <c r="P6" s="39"/>
      <c r="Q6" s="39"/>
      <c r="R6" s="39"/>
      <c r="S6" s="39"/>
    </row>
    <row r="7" spans="3:19">
      <c r="C7" s="24" t="s">
        <v>21</v>
      </c>
      <c r="D7" s="17">
        <v>5</v>
      </c>
      <c r="E7" s="17">
        <v>4</v>
      </c>
      <c r="F7" s="17">
        <v>3</v>
      </c>
      <c r="G7" s="32">
        <f t="shared" si="0"/>
        <v>4</v>
      </c>
      <c r="I7" s="38"/>
      <c r="J7" s="39"/>
      <c r="K7" s="39"/>
      <c r="L7" s="39"/>
      <c r="M7" s="39"/>
      <c r="O7" s="38"/>
      <c r="P7" s="39"/>
      <c r="Q7" s="39"/>
      <c r="R7" s="39"/>
      <c r="S7" s="39"/>
    </row>
    <row r="8" spans="3:19">
      <c r="C8" s="24" t="s">
        <v>22</v>
      </c>
      <c r="D8" s="17">
        <v>3</v>
      </c>
      <c r="E8" s="17">
        <v>5</v>
      </c>
      <c r="F8" s="17">
        <v>4</v>
      </c>
      <c r="G8" s="32">
        <f t="shared" si="0"/>
        <v>4</v>
      </c>
      <c r="I8" s="38"/>
      <c r="J8" s="39"/>
      <c r="K8" s="39"/>
      <c r="L8" s="39"/>
      <c r="M8" s="39"/>
      <c r="O8" s="38"/>
      <c r="P8" s="39"/>
      <c r="Q8" s="39"/>
      <c r="R8" s="39"/>
      <c r="S8" s="39"/>
    </row>
    <row r="9" spans="3:19">
      <c r="C9" s="25" t="s">
        <v>23</v>
      </c>
      <c r="D9" s="32">
        <f>AVERAGE(D4:D8)</f>
        <v>3.6</v>
      </c>
      <c r="E9" s="32">
        <f t="shared" ref="E9:G9" si="1">AVERAGE(E4:E8)</f>
        <v>4.2</v>
      </c>
      <c r="F9" s="32">
        <f t="shared" si="1"/>
        <v>4.2</v>
      </c>
      <c r="G9" s="32">
        <f t="shared" si="1"/>
        <v>4</v>
      </c>
      <c r="I9" s="9"/>
      <c r="J9" s="39"/>
      <c r="K9" s="39"/>
      <c r="L9" s="39"/>
      <c r="M9" s="39"/>
      <c r="O9" s="9"/>
      <c r="P9" s="39"/>
      <c r="Q9" s="39"/>
      <c r="R9" s="39"/>
      <c r="S9" s="39"/>
    </row>
    <row r="11" spans="3:19">
      <c r="C11" s="2" t="s">
        <v>24</v>
      </c>
      <c r="D11" s="1"/>
      <c r="E11" s="1"/>
      <c r="F11" s="1"/>
      <c r="G11" s="1"/>
    </row>
    <row r="12" spans="3:19">
      <c r="D12" s="23" t="s">
        <v>14</v>
      </c>
    </row>
    <row r="13" spans="3:19">
      <c r="D13" s="17">
        <v>3</v>
      </c>
    </row>
    <row r="14" spans="3:19">
      <c r="D14" s="17">
        <v>4</v>
      </c>
    </row>
    <row r="15" spans="3:19">
      <c r="D15" s="17">
        <v>3</v>
      </c>
    </row>
    <row r="16" spans="3:19">
      <c r="D16" s="17">
        <v>5</v>
      </c>
    </row>
    <row r="17" spans="3:7">
      <c r="D17" s="17">
        <v>3</v>
      </c>
    </row>
    <row r="18" spans="3:7">
      <c r="D18" s="32">
        <f>AVERAGE(D13:D17)</f>
        <v>3.6</v>
      </c>
    </row>
    <row r="21" spans="3:7">
      <c r="C21" s="35" t="s">
        <v>25</v>
      </c>
      <c r="D21" s="35"/>
      <c r="E21" s="35"/>
      <c r="F21" s="35"/>
      <c r="G21" s="35"/>
    </row>
    <row r="22" spans="3:7">
      <c r="C22" s="23" t="s">
        <v>13</v>
      </c>
      <c r="D22" s="23" t="s">
        <v>14</v>
      </c>
      <c r="E22" s="23" t="s">
        <v>15</v>
      </c>
      <c r="F22" s="23" t="s">
        <v>16</v>
      </c>
      <c r="G22" s="26" t="s">
        <v>17</v>
      </c>
    </row>
    <row r="23" spans="3:7">
      <c r="C23" s="24" t="s">
        <v>20</v>
      </c>
      <c r="D23" s="17">
        <v>3</v>
      </c>
      <c r="E23" s="17">
        <v>3</v>
      </c>
      <c r="F23" s="17">
        <v>5</v>
      </c>
      <c r="G23" s="32">
        <f t="shared" ref="G23" si="2">AVERAGE(D23:F23)</f>
        <v>3.6666666666666665</v>
      </c>
    </row>
  </sheetData>
  <mergeCells count="5">
    <mergeCell ref="C2:G2"/>
    <mergeCell ref="I2:M2"/>
    <mergeCell ref="O2:S2"/>
    <mergeCell ref="C21:G21"/>
    <mergeCell ref="C11:G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72A03-6C1F-4C4A-8956-06CD524CC9FC}">
  <dimension ref="C2:J36"/>
  <sheetViews>
    <sheetView tabSelected="1" topLeftCell="A16" workbookViewId="0">
      <selection activeCell="C24" sqref="C24:J27"/>
    </sheetView>
  </sheetViews>
  <sheetFormatPr defaultRowHeight="15"/>
  <cols>
    <col min="3" max="3" width="22.28515625" bestFit="1" customWidth="1"/>
    <col min="4" max="4" width="8.5703125" bestFit="1" customWidth="1"/>
    <col min="5" max="5" width="3.28515625" bestFit="1" customWidth="1"/>
    <col min="6" max="6" width="4.42578125" bestFit="1" customWidth="1"/>
    <col min="7" max="9" width="3" bestFit="1" customWidth="1"/>
    <col min="10" max="10" width="10" customWidth="1"/>
  </cols>
  <sheetData>
    <row r="2" spans="3:10">
      <c r="C2" s="31" t="s">
        <v>26</v>
      </c>
      <c r="D2" s="28"/>
      <c r="E2" s="28"/>
      <c r="F2" s="28"/>
      <c r="G2" s="28"/>
      <c r="H2" s="28"/>
      <c r="I2" s="28"/>
      <c r="J2" s="28"/>
    </row>
    <row r="3" spans="3:10" ht="144">
      <c r="C3" s="29" t="s">
        <v>27</v>
      </c>
      <c r="D3" s="29" t="s">
        <v>28</v>
      </c>
      <c r="E3" s="29" t="s">
        <v>29</v>
      </c>
      <c r="F3" s="29" t="s">
        <v>30</v>
      </c>
      <c r="G3" s="30" t="s">
        <v>31</v>
      </c>
      <c r="H3" s="30" t="s">
        <v>32</v>
      </c>
      <c r="I3" s="30" t="s">
        <v>33</v>
      </c>
      <c r="J3" s="30" t="s">
        <v>34</v>
      </c>
    </row>
    <row r="4" spans="3:10">
      <c r="C4" s="27" t="s">
        <v>35</v>
      </c>
      <c r="D4" s="33" t="s">
        <v>36</v>
      </c>
      <c r="E4" s="33">
        <v>12</v>
      </c>
      <c r="F4" s="33">
        <v>40</v>
      </c>
      <c r="G4" s="34">
        <f>E4*0.9</f>
        <v>10.8</v>
      </c>
      <c r="H4" s="34">
        <f>INT(F4/10)</f>
        <v>4</v>
      </c>
      <c r="I4" s="34">
        <f>F4-H4</f>
        <v>36</v>
      </c>
      <c r="J4" s="34">
        <f>G4*H4+E4*I4</f>
        <v>475.2</v>
      </c>
    </row>
    <row r="5" spans="3:10">
      <c r="C5" s="27" t="s">
        <v>37</v>
      </c>
      <c r="D5" s="33" t="s">
        <v>38</v>
      </c>
      <c r="E5" s="33">
        <v>3</v>
      </c>
      <c r="F5" s="33">
        <v>100</v>
      </c>
      <c r="G5" s="34">
        <f>E5*0.9</f>
        <v>2.7</v>
      </c>
      <c r="H5" s="34">
        <f>INT(F5/10)</f>
        <v>10</v>
      </c>
      <c r="I5" s="34">
        <f>F5-H5</f>
        <v>90</v>
      </c>
      <c r="J5" s="34">
        <f>G5*H5+E5*I5</f>
        <v>297</v>
      </c>
    </row>
    <row r="6" spans="3:10">
      <c r="C6" s="27" t="s">
        <v>39</v>
      </c>
      <c r="D6" s="33" t="s">
        <v>36</v>
      </c>
      <c r="E6" s="33">
        <v>10</v>
      </c>
      <c r="F6" s="33">
        <v>23</v>
      </c>
      <c r="G6" s="34">
        <f>E6*0.9</f>
        <v>9</v>
      </c>
      <c r="H6" s="34">
        <f>INT(F6/10)</f>
        <v>2</v>
      </c>
      <c r="I6" s="34">
        <f>F6-H6</f>
        <v>21</v>
      </c>
      <c r="J6" s="34">
        <f>G6*H6+E6*I6</f>
        <v>228</v>
      </c>
    </row>
    <row r="7" spans="3:10">
      <c r="C7" s="27" t="s">
        <v>40</v>
      </c>
      <c r="D7" s="33" t="s">
        <v>36</v>
      </c>
      <c r="E7" s="33">
        <v>8</v>
      </c>
      <c r="F7" s="33">
        <v>15</v>
      </c>
      <c r="G7" s="34">
        <f>E7*0.9</f>
        <v>7.2</v>
      </c>
      <c r="H7" s="34">
        <f>INT(F7/10)</f>
        <v>1</v>
      </c>
      <c r="I7" s="34">
        <f>F7-H7</f>
        <v>14</v>
      </c>
      <c r="J7" s="34">
        <f>G7*H7+E7*I7</f>
        <v>119.2</v>
      </c>
    </row>
    <row r="8" spans="3:10">
      <c r="C8" s="27" t="s">
        <v>41</v>
      </c>
      <c r="D8" s="33" t="s">
        <v>38</v>
      </c>
      <c r="E8" s="33">
        <v>2</v>
      </c>
      <c r="F8" s="33">
        <v>51</v>
      </c>
      <c r="G8" s="34">
        <f>E8*0.9</f>
        <v>1.8</v>
      </c>
      <c r="H8" s="34">
        <f>INT(F8/10)</f>
        <v>5</v>
      </c>
      <c r="I8" s="34">
        <f>F8-H8</f>
        <v>46</v>
      </c>
      <c r="J8" s="34">
        <f>G8*H8+E8*I8</f>
        <v>101</v>
      </c>
    </row>
    <row r="9" spans="3:10">
      <c r="C9" s="27" t="s">
        <v>42</v>
      </c>
      <c r="D9" s="33" t="s">
        <v>38</v>
      </c>
      <c r="E9" s="33">
        <v>4</v>
      </c>
      <c r="F9" s="33">
        <v>25</v>
      </c>
      <c r="G9" s="34">
        <f>E9*0.9</f>
        <v>3.6</v>
      </c>
      <c r="H9" s="34">
        <f>INT(F9/10)</f>
        <v>2</v>
      </c>
      <c r="I9" s="34">
        <f>F9-H9</f>
        <v>23</v>
      </c>
      <c r="J9" s="34">
        <f>G9*H9+E9*I9</f>
        <v>99.2</v>
      </c>
    </row>
    <row r="10" spans="3:10">
      <c r="C10" s="27" t="s">
        <v>43</v>
      </c>
      <c r="D10" s="33" t="s">
        <v>36</v>
      </c>
      <c r="E10" s="33">
        <v>7</v>
      </c>
      <c r="F10" s="33">
        <v>12</v>
      </c>
      <c r="G10" s="34">
        <f>E10*0.9</f>
        <v>6.3</v>
      </c>
      <c r="H10" s="34">
        <f>INT(F10/10)</f>
        <v>1</v>
      </c>
      <c r="I10" s="34">
        <f>F10-H10</f>
        <v>11</v>
      </c>
      <c r="J10" s="34">
        <f>G10*H10+E10*I10</f>
        <v>83.3</v>
      </c>
    </row>
    <row r="11" spans="3:10">
      <c r="C11" s="27" t="s">
        <v>44</v>
      </c>
      <c r="D11" s="33" t="s">
        <v>38</v>
      </c>
      <c r="E11" s="33">
        <v>3</v>
      </c>
      <c r="F11" s="33">
        <v>23</v>
      </c>
      <c r="G11" s="34">
        <f>E11*0.9</f>
        <v>2.7</v>
      </c>
      <c r="H11" s="34">
        <f>INT(F11/10)</f>
        <v>2</v>
      </c>
      <c r="I11" s="34">
        <f>F11-H11</f>
        <v>21</v>
      </c>
      <c r="J11" s="34">
        <f>G11*H11+E11*I11</f>
        <v>68.400000000000006</v>
      </c>
    </row>
    <row r="12" spans="3:10">
      <c r="C12" s="27" t="s">
        <v>45</v>
      </c>
      <c r="D12" s="33" t="s">
        <v>36</v>
      </c>
      <c r="E12" s="33">
        <v>5</v>
      </c>
      <c r="F12" s="33">
        <v>6</v>
      </c>
      <c r="G12" s="34">
        <f>E12*0.9</f>
        <v>4.5</v>
      </c>
      <c r="H12" s="34">
        <f>INT(F12/10)</f>
        <v>0</v>
      </c>
      <c r="I12" s="34">
        <f>F12-H12</f>
        <v>6</v>
      </c>
      <c r="J12" s="34">
        <f>G12*H12+E12*I12</f>
        <v>30</v>
      </c>
    </row>
    <row r="13" spans="3:10">
      <c r="C13" s="27" t="s">
        <v>46</v>
      </c>
      <c r="D13" s="33" t="s">
        <v>38</v>
      </c>
      <c r="E13" s="33">
        <v>2</v>
      </c>
      <c r="F13" s="33">
        <v>2</v>
      </c>
      <c r="G13" s="34">
        <f>E13*0.9</f>
        <v>1.8</v>
      </c>
      <c r="H13" s="34">
        <f>INT(F13/10)</f>
        <v>0</v>
      </c>
      <c r="I13" s="34">
        <f>F13-H13</f>
        <v>2</v>
      </c>
      <c r="J13" s="34">
        <f>G13*H13+E13*I13</f>
        <v>4</v>
      </c>
    </row>
    <row r="14" spans="3:10">
      <c r="J14">
        <f>AVERAGE(J4:J13)</f>
        <v>150.53000000000003</v>
      </c>
    </row>
    <row r="16" spans="3:10" ht="144">
      <c r="C16" s="29" t="s">
        <v>27</v>
      </c>
      <c r="D16" s="29" t="s">
        <v>28</v>
      </c>
      <c r="E16" s="29" t="s">
        <v>29</v>
      </c>
      <c r="F16" s="29" t="s">
        <v>30</v>
      </c>
      <c r="G16" s="30" t="s">
        <v>31</v>
      </c>
      <c r="H16" s="30" t="s">
        <v>32</v>
      </c>
      <c r="I16" s="30" t="s">
        <v>33</v>
      </c>
      <c r="J16" s="30" t="s">
        <v>34</v>
      </c>
    </row>
    <row r="17" spans="3:10">
      <c r="C17" s="27" t="s">
        <v>35</v>
      </c>
      <c r="D17" s="33" t="s">
        <v>36</v>
      </c>
      <c r="E17" s="33">
        <v>12</v>
      </c>
      <c r="F17" s="33">
        <v>40</v>
      </c>
      <c r="G17" s="34">
        <f>E17*0.9</f>
        <v>10.8</v>
      </c>
      <c r="H17" s="34">
        <f>INT(F17/10)</f>
        <v>4</v>
      </c>
      <c r="I17" s="34">
        <f>F17-H17</f>
        <v>36</v>
      </c>
      <c r="J17" s="34">
        <f>G17*H17+E17*I17</f>
        <v>475.2</v>
      </c>
    </row>
    <row r="18" spans="3:10">
      <c r="C18" s="27" t="s">
        <v>37</v>
      </c>
      <c r="D18" s="33" t="s">
        <v>38</v>
      </c>
      <c r="E18" s="33">
        <v>3</v>
      </c>
      <c r="F18" s="33">
        <v>100</v>
      </c>
      <c r="G18" s="34">
        <f>E18*0.9</f>
        <v>2.7</v>
      </c>
      <c r="H18" s="34">
        <f>INT(F18/10)</f>
        <v>10</v>
      </c>
      <c r="I18" s="34">
        <f>F18-H18</f>
        <v>90</v>
      </c>
      <c r="J18" s="34">
        <f>G18*H18+E18*I18</f>
        <v>297</v>
      </c>
    </row>
    <row r="19" spans="3:10">
      <c r="C19" s="27" t="s">
        <v>39</v>
      </c>
      <c r="D19" s="33" t="s">
        <v>36</v>
      </c>
      <c r="E19" s="33">
        <v>10</v>
      </c>
      <c r="F19" s="33">
        <v>23</v>
      </c>
      <c r="G19" s="34">
        <f>E19*0.9</f>
        <v>9</v>
      </c>
      <c r="H19" s="34">
        <f>INT(F19/10)</f>
        <v>2</v>
      </c>
      <c r="I19" s="34">
        <f>F19-H19</f>
        <v>21</v>
      </c>
      <c r="J19" s="34">
        <f>G19*H19+E19*I19</f>
        <v>228</v>
      </c>
    </row>
    <row r="24" spans="3:10">
      <c r="C24" s="42"/>
      <c r="D24" s="42"/>
      <c r="E24" s="42"/>
      <c r="F24" s="42"/>
      <c r="G24" s="42"/>
      <c r="H24" s="42"/>
      <c r="I24" s="42"/>
      <c r="J24" s="42"/>
    </row>
    <row r="25" spans="3:10">
      <c r="C25" s="9"/>
      <c r="D25" s="39"/>
      <c r="E25" s="39"/>
      <c r="F25" s="39"/>
      <c r="G25" s="39"/>
      <c r="H25" s="39"/>
      <c r="I25" s="39"/>
      <c r="J25" s="39"/>
    </row>
    <row r="26" spans="3:10">
      <c r="C26" s="9"/>
      <c r="D26" s="39"/>
      <c r="E26" s="39"/>
      <c r="F26" s="39"/>
      <c r="G26" s="39"/>
      <c r="H26" s="39"/>
      <c r="I26" s="39"/>
      <c r="J26" s="39"/>
    </row>
    <row r="27" spans="3:10">
      <c r="C27" s="9"/>
      <c r="D27" s="39"/>
      <c r="E27" s="39"/>
      <c r="F27" s="39"/>
      <c r="G27" s="39"/>
      <c r="H27" s="39"/>
      <c r="I27" s="39"/>
      <c r="J27" s="39"/>
    </row>
    <row r="33" spans="3:10">
      <c r="C33" s="42"/>
      <c r="D33" s="42"/>
      <c r="E33" s="42"/>
      <c r="F33" s="42"/>
      <c r="G33" s="42"/>
      <c r="H33" s="42"/>
      <c r="I33" s="42"/>
      <c r="J33" s="42"/>
    </row>
    <row r="34" spans="3:10">
      <c r="C34" s="9"/>
      <c r="D34" s="39"/>
      <c r="E34" s="39"/>
      <c r="F34" s="39"/>
      <c r="G34" s="39"/>
      <c r="H34" s="39"/>
      <c r="I34" s="39"/>
      <c r="J34" s="39"/>
    </row>
    <row r="35" spans="3:10">
      <c r="C35" s="9"/>
      <c r="D35" s="39"/>
      <c r="E35" s="39"/>
      <c r="F35" s="39"/>
      <c r="G35" s="39"/>
      <c r="H35" s="39"/>
      <c r="I35" s="39"/>
      <c r="J35" s="39"/>
    </row>
    <row r="36" spans="3:10">
      <c r="C36" s="9"/>
      <c r="D36" s="39"/>
      <c r="E36" s="39"/>
      <c r="F36" s="39"/>
      <c r="G36" s="39"/>
      <c r="H36" s="39"/>
      <c r="I36" s="39"/>
      <c r="J36" s="39"/>
    </row>
  </sheetData>
  <mergeCells count="1">
    <mergeCell ref="C2:J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2026-04-03T07:24:37Z</dcterms:created>
  <dcterms:modified xsi:type="dcterms:W3CDTF">2026-04-03T08:55:24Z</dcterms:modified>
  <cp:category/>
  <cp:contentStatus/>
</cp:coreProperties>
</file>